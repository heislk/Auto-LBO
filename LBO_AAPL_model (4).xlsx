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del" state="visible" r:id="rId5"/>
  </sheets>
  <calcPr calcId="171027"/>
</workbook>
</file>

<file path=xl/sharedStrings.xml><?xml version="1.0" encoding="utf-8"?>
<sst xmlns="http://schemas.openxmlformats.org/spreadsheetml/2006/main" count="50" uniqueCount="47">
  <si>
    <t>PROJECT AAPL - LBO SUMMARY</t>
  </si>
  <si>
    <t>Returns Profile (5-Year Exit)</t>
  </si>
  <si>
    <t>Net Sponsor IRR</t>
  </si>
  <si>
    <t>Net Sponsor MOIC</t>
  </si>
  <si>
    <t>Sensitivity Analysis (Net IRR)</t>
  </si>
  <si>
    <t>9.0x</t>
  </si>
  <si>
    <t>10.0x</t>
  </si>
  <si>
    <t>11.0x</t>
  </si>
  <si>
    <t>3.0%</t>
  </si>
  <si>
    <t>5.0%</t>
  </si>
  <si>
    <t>7.0%</t>
  </si>
  <si>
    <t>Detailed Operating Model</t>
  </si>
  <si>
    <t>Entry</t>
  </si>
  <si>
    <t>Year 1</t>
  </si>
  <si>
    <t>Year 2</t>
  </si>
  <si>
    <t>Year 3</t>
  </si>
  <si>
    <t>Year 4</t>
  </si>
  <si>
    <t>Year 5</t>
  </si>
  <si>
    <t>I. General Assumptions</t>
  </si>
  <si>
    <t>Revenue Growth %</t>
  </si>
  <si>
    <t>-</t>
  </si>
  <si>
    <t>EBITDA Margin %</t>
  </si>
  <si>
    <t>Tax Rate %</t>
  </si>
  <si>
    <t>II. Income Statement</t>
  </si>
  <si>
    <t>Total Revenue</t>
  </si>
  <si>
    <t>EBITDA</t>
  </si>
  <si>
    <t>Less: D&amp;A</t>
  </si>
  <si>
    <t>EBIT</t>
  </si>
  <si>
    <t>Less: Interest</t>
  </si>
  <si>
    <t>Pre-Tax Income</t>
  </si>
  <si>
    <t>Less: Taxes</t>
  </si>
  <si>
    <t>Net Income</t>
  </si>
  <si>
    <t>III. Cash Flow Waterfall</t>
  </si>
  <si>
    <t>Plus: D&amp;A</t>
  </si>
  <si>
    <t>Less: Capex</t>
  </si>
  <si>
    <t>Less: NWC</t>
  </si>
  <si>
    <t>Free Cash Flow</t>
  </si>
  <si>
    <t>IV. Debt Schedule</t>
  </si>
  <si>
    <t>Senior BoP</t>
  </si>
  <si>
    <t>Senior EoP</t>
  </si>
  <si>
    <t>Junior BoP</t>
  </si>
  <si>
    <t>Junior EoP</t>
  </si>
  <si>
    <t>Total Debt</t>
  </si>
  <si>
    <t>Cash Balance</t>
  </si>
  <si>
    <t>V. Credit Statistics</t>
  </si>
  <si>
    <t>Net Leverage</t>
  </si>
  <si>
    <t>Interest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</si>
</sst>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0x"/>
    <numFmt numFmtId="166" formatCode="_(* #,##0.0_);_(* (#,##0.0);_(* &quot;-&quot;??_);_(@_)"/>
  </numFmts>
  <fonts count="7" x14ac:knownFonts="1">
    <font>
      <color theme="1"/>
      <family val="2"/>
      <scheme val="minor"/>
      <sz val="11"/>
      <name val="Calibri"/>
    </font>
    <font>
      <b/>
      <color rgb="FF000000"/>
      <sz val="14"/>
      <name val="Arial"/>
    </font>
    <font>
      <b/>
      <sz val="10"/>
      <name val="Arial"/>
    </font>
    <font>
      <b/>
      <color rgb="FF000000"/>
      <sz val="9"/>
      <name val="Arial"/>
    </font>
    <font>
      <b/>
      <color rgb="FF000000"/>
      <sz val="10"/>
      <name val="Arial"/>
    </font>
    <font>
      <color rgb="FF0000FF"/>
      <sz val="9"/>
      <name val="Arial"/>
    </font>
    <font>
      <color rgb="FF000000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2DEDE"/>
      </patternFill>
    </fill>
  </fills>
  <borders count="5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164" fontId="0" fillId="2" borderId="2" xfId="0" applyNumberFormat="1" applyFill="1" applyBorder="1"/>
    <xf numFmtId="164" fontId="0" fillId="0" borderId="2" xfId="0" applyNumberFormat="1" applyBorder="1"/>
    <xf numFmtId="0" fontId="3" fillId="0" borderId="3" xfId="0" applyFont="1" applyBorder="1" applyAlignment="1">
      <alignment horizontal="right"/>
    </xf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66" fontId="3" fillId="0" borderId="4" xfId="0" applyNumberFormat="1" applyFont="1" applyBorder="1"/>
    <xf numFmtId="0" fontId="6" fillId="0" borderId="0" xfId="0" applyFont="1"/>
    <xf numFmtId="166" fontId="6" fillId="0" borderId="0" xfId="0" applyNumberFormat="1" applyFont="1"/>
    <xf numFmtId="165" fontId="3" fillId="0" borderId="4" xfId="0" applyNumberFormat="1" applyFont="1" applyBorder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15"/>
  <sheetViews>
    <sheetView workbookViewId="0" showGridLines="0"/>
  </sheetViews>
  <sheetFormatPr defaultRowHeight="15" outlineLevelRow="0" outlineLevelCol="0" x14ac:dyDescent="55"/>
  <cols>
    <col min="2" max="2" width="25" customWidth="1"/>
    <col min="3" max="5" width="15" customWidth="1"/>
  </cols>
  <sheetData>
    <row r="2" spans="2:2" x14ac:dyDescent="0.25">
      <c r="B2" s="1" t="s">
        <v>0</v>
      </c>
    </row>
    <row r="4" spans="2:2" x14ac:dyDescent="0.25">
      <c r="B4" s="2" t="s">
        <v>1</v>
      </c>
    </row>
    <row r="6" spans="2:3" x14ac:dyDescent="0.25">
      <c r="B6" t="s">
        <v>2</v>
      </c>
      <c r="C6" s="3">
        <v>0.1347259036890982</v>
      </c>
    </row>
    <row r="7" spans="2:3" x14ac:dyDescent="0.25">
      <c r="B7" t="s">
        <v>3</v>
      </c>
      <c r="C7" s="4">
        <v>1.8812860951262576</v>
      </c>
    </row>
    <row r="10" spans="2:2" x14ac:dyDescent="0.25">
      <c r="B10" s="2" t="s">
        <v>4</v>
      </c>
    </row>
    <row r="12" spans="3:5" x14ac:dyDescent="0.25">
      <c r="C12" s="5" t="s">
        <v>5</v>
      </c>
      <c r="D12" s="5" t="s">
        <v>6</v>
      </c>
      <c r="E12" s="5" t="s">
        <v>7</v>
      </c>
    </row>
    <row r="13" spans="2:5" x14ac:dyDescent="0.25">
      <c r="B13" s="6" t="s">
        <v>8</v>
      </c>
      <c r="C13" s="7">
        <v>0.07431362965264654</v>
      </c>
      <c r="D13" s="7">
        <v>0.1028786786917484</v>
      </c>
      <c r="E13" s="7">
        <v>0.12875845498752247</v>
      </c>
    </row>
    <row r="14" spans="2:5" x14ac:dyDescent="0.25">
      <c r="B14" s="6" t="s">
        <v>9</v>
      </c>
      <c r="C14" s="7">
        <v>0.10673127240469003</v>
      </c>
      <c r="D14" s="7">
        <v>0.1347259036890982</v>
      </c>
      <c r="E14" s="8">
        <v>0.1602028932077286</v>
      </c>
    </row>
    <row r="15" spans="2:5" x14ac:dyDescent="0.25">
      <c r="B15" s="6" t="s">
        <v>10</v>
      </c>
      <c r="C15" s="7">
        <v>0.13776425983070406</v>
      </c>
      <c r="D15" s="8">
        <v>0.16536413267199435</v>
      </c>
      <c r="E15" s="8">
        <v>0.19057282414032747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68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2" max="2" width="35" customWidth="1"/>
    <col min="3" max="8" width="14" customWidth="1"/>
  </cols>
  <sheetData>
    <row r="2" spans="2:2" x14ac:dyDescent="0.25">
      <c r="B2" s="1" t="s">
        <v>11</v>
      </c>
    </row>
    <row r="5" spans="3:8" x14ac:dyDescent="0.25"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  <c r="H5" s="9" t="s">
        <v>17</v>
      </c>
    </row>
    <row r="7" spans="2:2" x14ac:dyDescent="0.25">
      <c r="B7" s="10" t="s">
        <v>18</v>
      </c>
    </row>
    <row r="8" spans="2:8" s="11" customFormat="1" x14ac:dyDescent="0.25">
      <c r="B8" s="11" t="s">
        <v>19</v>
      </c>
      <c r="C8" s="12" t="s">
        <v>20</v>
      </c>
      <c r="D8" s="12">
        <v>0.050000000000000044</v>
      </c>
      <c r="E8" s="12">
        <v>0.050000000000000044</v>
      </c>
      <c r="F8" s="12">
        <v>0.050000000000000044</v>
      </c>
      <c r="G8" s="12">
        <v>0.050000000000000044</v>
      </c>
      <c r="H8" s="12">
        <v>0.050000000000000044</v>
      </c>
    </row>
    <row r="9" spans="2:8" s="11" customFormat="1" x14ac:dyDescent="0.25">
      <c r="B9" s="11" t="s">
        <v>21</v>
      </c>
      <c r="C9" s="12">
        <v>0.3</v>
      </c>
      <c r="D9" s="12">
        <v>0.3</v>
      </c>
      <c r="E9" s="12">
        <v>0.3</v>
      </c>
      <c r="F9" s="12">
        <v>0.3</v>
      </c>
      <c r="G9" s="12">
        <v>0.3</v>
      </c>
      <c r="H9" s="12">
        <v>0.3</v>
      </c>
    </row>
    <row r="10" spans="2:8" s="11" customFormat="1" x14ac:dyDescent="0.25">
      <c r="B10" s="11" t="s">
        <v>22</v>
      </c>
      <c r="C10" s="12">
        <v>0.15</v>
      </c>
      <c r="D10" s="12">
        <v>0.15</v>
      </c>
      <c r="E10" s="12">
        <v>0.15</v>
      </c>
      <c r="F10" s="12">
        <v>0.15</v>
      </c>
      <c r="G10" s="12">
        <v>0.15</v>
      </c>
      <c r="H10" s="12">
        <v>0.15</v>
      </c>
    </row>
    <row r="15" spans="2:2" x14ac:dyDescent="0.25">
      <c r="B15" s="10" t="s">
        <v>23</v>
      </c>
    </row>
    <row r="16" spans="2:8" x14ac:dyDescent="0.25">
      <c r="B16" s="6" t="s">
        <v>24</v>
      </c>
      <c r="C16" s="13">
        <v>383000</v>
      </c>
      <c r="D16" s="13">
        <f>C16*(1+D8)</f>
        <v>402150</v>
      </c>
      <c r="E16" s="13">
        <f>D16*(1+E8)</f>
        <v>422257.5</v>
      </c>
      <c r="F16" s="13">
        <f>E16*(1+F8)</f>
        <v>443370.375</v>
      </c>
      <c r="G16" s="13">
        <f>F16*(1+G8)</f>
        <v>465538.89375000005</v>
      </c>
      <c r="H16" s="13">
        <f>G16*(1+H8)</f>
        <v>488815.83843750006</v>
      </c>
    </row>
    <row r="19" spans="2:8" x14ac:dyDescent="0.25">
      <c r="B19" s="6" t="s">
        <v>25</v>
      </c>
      <c r="C19" s="13">
        <f>C16*C9</f>
        <v>114900</v>
      </c>
      <c r="D19" s="13">
        <f>D16*D9</f>
        <v>120645</v>
      </c>
      <c r="E19" s="13">
        <f>E16*E9</f>
        <v>126677.25</v>
      </c>
      <c r="F19" s="13">
        <f>F16*F9</f>
        <v>133011.1125</v>
      </c>
      <c r="G19" s="13">
        <f>G16*G9</f>
        <v>139661.668125</v>
      </c>
      <c r="H19" s="13">
        <f>H16*H9</f>
        <v>146644.75153125002</v>
      </c>
    </row>
    <row r="21" spans="2:8" x14ac:dyDescent="0.25">
      <c r="B21" s="14" t="s">
        <v>26</v>
      </c>
      <c r="C21" s="15">
        <f>C16*0.02</f>
        <v>0</v>
      </c>
      <c r="D21" s="15">
        <f>D16*0.02</f>
        <v>8043</v>
      </c>
      <c r="E21" s="15">
        <f>E16*0.02</f>
        <v>8445.15</v>
      </c>
      <c r="F21" s="15">
        <f>F16*0.02</f>
        <v>8867.4075</v>
      </c>
      <c r="G21" s="15">
        <f>G16*0.02</f>
        <v>9310.777875000002</v>
      </c>
      <c r="H21" s="15">
        <f>H16*0.02</f>
        <v>9776.31676875</v>
      </c>
    </row>
    <row r="22" spans="2:8" x14ac:dyDescent="0.25">
      <c r="B22" s="6" t="s">
        <v>27</v>
      </c>
      <c r="C22" s="13">
        <f>C19-C21</f>
        <v>114900</v>
      </c>
      <c r="D22" s="13">
        <f>D19-D21</f>
        <v>112602</v>
      </c>
      <c r="E22" s="13">
        <f>E19-E21</f>
        <v>118232.1</v>
      </c>
      <c r="F22" s="13">
        <f>F19-F21</f>
        <v>124143.70499999999</v>
      </c>
      <c r="G22" s="13">
        <f>G19-G21</f>
        <v>130350.89025</v>
      </c>
      <c r="H22" s="13">
        <f>H19-H21</f>
        <v>136868.43476250002</v>
      </c>
    </row>
    <row r="23" spans="2:8" x14ac:dyDescent="0.25">
      <c r="B23" s="14" t="s">
        <v>28</v>
      </c>
      <c r="C23" s="15">
        <f>(null*0.065) + (null*0.1)</f>
        <v>0</v>
      </c>
      <c r="D23" s="15">
        <f>(C55*0.065) + (C59*0.1)</f>
        <v>43374.75</v>
      </c>
      <c r="E23" s="15">
        <f>(D55*0.065) + (D59*0.1)</f>
        <v>39811.3419375</v>
      </c>
      <c r="F23" s="15">
        <f>(E55*0.065) + (E59*0.1)</f>
        <v>35753.06242954687</v>
      </c>
      <c r="G23" s="15">
        <f>(F55*0.065) + (F59*0.1)</f>
        <v>31157.670171279344</v>
      </c>
      <c r="H23" s="15">
        <f>(G55*0.065) + (G59*0.1)</f>
        <v>25979.845042867524</v>
      </c>
    </row>
    <row r="24" spans="2:8" x14ac:dyDescent="0.25">
      <c r="B24" s="14" t="s">
        <v>29</v>
      </c>
      <c r="C24" s="15">
        <f>C22-C23</f>
        <v>0</v>
      </c>
      <c r="D24" s="15">
        <f>D22-D23</f>
        <v>69227.25</v>
      </c>
      <c r="E24" s="15">
        <f>E22-E23</f>
        <v>78420.75806250001</v>
      </c>
      <c r="F24" s="15">
        <f>F22-F23</f>
        <v>88390.64257045311</v>
      </c>
      <c r="G24" s="15">
        <f>G22-G23</f>
        <v>99193.22007872065</v>
      </c>
      <c r="H24" s="15">
        <f>H22-H23</f>
        <v>110888.5897196325</v>
      </c>
    </row>
    <row r="25" spans="2:8" x14ac:dyDescent="0.25">
      <c r="B25" s="14" t="s">
        <v>30</v>
      </c>
      <c r="C25" s="15">
        <f>MAX(0,C24*C10)</f>
        <v>0</v>
      </c>
      <c r="D25" s="15">
        <f>MAX(0,D24*D10)</f>
        <v>10384.0875</v>
      </c>
      <c r="E25" s="15">
        <f>MAX(0,E24*E10)</f>
        <v>11763.113709375002</v>
      </c>
      <c r="F25" s="15">
        <f>MAX(0,F24*F10)</f>
        <v>13258.596385567967</v>
      </c>
      <c r="G25" s="15">
        <f>MAX(0,G24*G10)</f>
        <v>14878.983011808097</v>
      </c>
      <c r="H25" s="15">
        <f>MAX(0,H24*H10)</f>
        <v>16633.288457944873</v>
      </c>
    </row>
    <row r="26" spans="2:8" x14ac:dyDescent="0.25">
      <c r="B26" s="6" t="s">
        <v>31</v>
      </c>
      <c r="C26" s="13">
        <f>C24-C25</f>
        <v>0</v>
      </c>
      <c r="D26" s="13">
        <f>D24-D25</f>
        <v>58843.1625</v>
      </c>
      <c r="E26" s="13">
        <f>E24-E25</f>
        <v>66657.64435312501</v>
      </c>
      <c r="F26" s="13">
        <f>F24-F25</f>
        <v>75132.04618488514</v>
      </c>
      <c r="G26" s="13">
        <f>G24-G25</f>
        <v>84314.23706691255</v>
      </c>
      <c r="H26" s="13">
        <f>H24-H25</f>
        <v>94255.30126168762</v>
      </c>
    </row>
    <row r="30" spans="2:2" x14ac:dyDescent="0.25">
      <c r="B30" s="10" t="s">
        <v>32</v>
      </c>
    </row>
    <row r="31" spans="2:8" x14ac:dyDescent="0.25">
      <c r="B31" s="6" t="s">
        <v>31</v>
      </c>
      <c r="C31" s="13">
        <f>C26</f>
      </c>
      <c r="D31" s="13">
        <f>D26</f>
      </c>
      <c r="E31" s="13">
        <f>E26</f>
      </c>
      <c r="F31" s="13">
        <f>F26</f>
      </c>
      <c r="G31" s="13">
        <f>G26</f>
      </c>
      <c r="H31" s="13">
        <f>H26</f>
      </c>
    </row>
    <row r="32" spans="2:8" x14ac:dyDescent="0.25">
      <c r="B32" s="14" t="s">
        <v>33</v>
      </c>
      <c r="C32" s="15">
        <f>C21</f>
      </c>
      <c r="D32" s="15">
        <f>D21</f>
      </c>
      <c r="E32" s="15">
        <f>E21</f>
      </c>
      <c r="F32" s="15">
        <f>F21</f>
      </c>
      <c r="G32" s="15">
        <f>G21</f>
      </c>
      <c r="H32" s="15">
        <f>H21</f>
      </c>
    </row>
    <row r="33" spans="2:8" x14ac:dyDescent="0.25">
      <c r="B33" s="14" t="s">
        <v>34</v>
      </c>
      <c r="C33" s="15">
        <f>-C16*0.02</f>
      </c>
      <c r="D33" s="15">
        <f>-D16*0.02</f>
      </c>
      <c r="E33" s="15">
        <f>-E16*0.02</f>
      </c>
      <c r="F33" s="15">
        <f>-F16*0.02</f>
      </c>
      <c r="G33" s="15">
        <f>-G16*0.02</f>
      </c>
      <c r="H33" s="15">
        <f>-H16*0.02</f>
      </c>
    </row>
    <row r="34" spans="2:8" x14ac:dyDescent="0.25">
      <c r="B34" s="14" t="s">
        <v>35</v>
      </c>
      <c r="C34" s="15">
        <f>-C16*0.01</f>
      </c>
      <c r="D34" s="15">
        <f>-D16*0.01</f>
      </c>
      <c r="E34" s="15">
        <f>-E16*0.01</f>
      </c>
      <c r="F34" s="15">
        <f>-F16*0.01</f>
      </c>
      <c r="G34" s="15">
        <f>-G16*0.01</f>
      </c>
      <c r="H34" s="15">
        <f>-H16*0.01</f>
      </c>
    </row>
    <row r="35" spans="2:8" x14ac:dyDescent="0.25">
      <c r="B35" s="6" t="s">
        <v>36</v>
      </c>
      <c r="C35" s="13">
        <f>SUM(C31:C34)</f>
      </c>
      <c r="D35" s="13">
        <f>SUM(D31:D34)</f>
      </c>
      <c r="E35" s="13">
        <f>SUM(E31:E34)</f>
      </c>
      <c r="F35" s="13">
        <f>SUM(F31:F34)</f>
      </c>
      <c r="G35" s="13">
        <f>SUM(G31:G34)</f>
      </c>
      <c r="H35" s="13">
        <f>SUM(H31:H34)</f>
      </c>
    </row>
    <row r="46" spans="2:2" x14ac:dyDescent="0.25">
      <c r="B46" s="10" t="s">
        <v>37</v>
      </c>
    </row>
    <row r="52" spans="2:8" x14ac:dyDescent="0.25">
      <c r="B52" s="14" t="s">
        <v>38</v>
      </c>
      <c r="C52" s="15" t="s">
        <v>20</v>
      </c>
      <c r="D52" s="15">
        <f>C55</f>
      </c>
      <c r="E52" s="15">
        <f>D55</f>
      </c>
      <c r="F52" s="15">
        <f>E55</f>
      </c>
      <c r="G52" s="15">
        <f>F55</f>
      </c>
      <c r="H52" s="15">
        <f>G55</f>
      </c>
    </row>
    <row r="55" spans="2:8" x14ac:dyDescent="0.25">
      <c r="B55" s="6" t="s">
        <v>39</v>
      </c>
      <c r="C55" s="13">
        <v>402150</v>
      </c>
      <c r="D55" s="13">
        <f>MAX(0, D52 - MAX(0, D35))</f>
      </c>
      <c r="E55" s="13">
        <f>MAX(0, E52 - MAX(0, E35))</f>
      </c>
      <c r="F55" s="13">
        <f>MAX(0, F52 - MAX(0, F35))</f>
      </c>
      <c r="G55" s="13">
        <f>MAX(0, G52 - MAX(0, G35))</f>
      </c>
      <c r="H55" s="13">
        <f>MAX(0, H52 - MAX(0, H35))</f>
      </c>
    </row>
    <row r="58" spans="2:8" x14ac:dyDescent="0.25">
      <c r="B58" s="14" t="s">
        <v>40</v>
      </c>
      <c r="C58" s="15" t="s">
        <v>20</v>
      </c>
      <c r="D58" s="15">
        <f>C59</f>
      </c>
      <c r="E58" s="15">
        <f>D59</f>
      </c>
      <c r="F58" s="15">
        <f>E59</f>
      </c>
      <c r="G58" s="15">
        <f>F59</f>
      </c>
      <c r="H58" s="15">
        <f>G59</f>
      </c>
    </row>
    <row r="59" spans="2:8" x14ac:dyDescent="0.25">
      <c r="B59" s="6" t="s">
        <v>41</v>
      </c>
      <c r="C59" s="13">
        <v>172350</v>
      </c>
      <c r="D59" s="13">
        <f>D58</f>
      </c>
      <c r="E59" s="13">
        <f>E58</f>
      </c>
      <c r="F59" s="13">
        <f>F58</f>
      </c>
      <c r="G59" s="13">
        <f>G58</f>
      </c>
      <c r="H59" s="13">
        <f>H58</f>
      </c>
    </row>
    <row r="61" spans="2:8" x14ac:dyDescent="0.25">
      <c r="B61" s="6" t="s">
        <v>42</v>
      </c>
      <c r="C61" s="13">
        <f>C55+C59</f>
      </c>
      <c r="D61" s="13">
        <f>D55+D59</f>
      </c>
      <c r="E61" s="13">
        <f>E55+E59</f>
      </c>
      <c r="F61" s="13">
        <f>F55+F59</f>
      </c>
      <c r="G61" s="13">
        <f>G55+G59</f>
      </c>
      <c r="H61" s="13">
        <f>H55+H59</f>
      </c>
    </row>
    <row r="62" spans="2:8" x14ac:dyDescent="0.25">
      <c r="B62" s="14" t="s">
        <v>43</v>
      </c>
      <c r="C62" s="15">
        <v>5</v>
      </c>
      <c r="D62" s="15">
        <v>5</v>
      </c>
      <c r="E62" s="15">
        <v>5</v>
      </c>
      <c r="F62" s="15">
        <v>5</v>
      </c>
      <c r="G62" s="15">
        <v>5</v>
      </c>
      <c r="H62" s="15">
        <v>5</v>
      </c>
    </row>
    <row r="66" spans="2:2" x14ac:dyDescent="0.25">
      <c r="B66" s="10" t="s">
        <v>44</v>
      </c>
    </row>
    <row r="67" spans="2:8" x14ac:dyDescent="0.25">
      <c r="B67" s="6" t="s">
        <v>45</v>
      </c>
      <c r="C67" s="16">
        <f>MAX(0, (C61 - C62) / C19)</f>
        <v>0</v>
      </c>
      <c r="D67" s="16">
        <f>MAX(0, (D61 - D62) / D19)</f>
        <v>0</v>
      </c>
      <c r="E67" s="16">
        <f>MAX(0, (E61 - E62) / E19)</f>
        <v>0</v>
      </c>
      <c r="F67" s="16">
        <f>MAX(0, (F61 - F62) / F19)</f>
        <v>0</v>
      </c>
      <c r="G67" s="16">
        <f>MAX(0, (G61 - G62) / G19)</f>
        <v>0</v>
      </c>
      <c r="H67" s="16">
        <f>MAX(0, (H61 - H62) / H19)</f>
        <v>0</v>
      </c>
    </row>
    <row r="68" spans="2:8" x14ac:dyDescent="0.25">
      <c r="B68" s="14" t="s">
        <v>46</v>
      </c>
      <c r="C68" s="17">
        <f>IF(C23=0, 0, C19 / C23)</f>
        <v>0</v>
      </c>
      <c r="D68" s="17">
        <f>IF(D23=0, 0, D19 / D23)</f>
        <v>0</v>
      </c>
      <c r="E68" s="17">
        <f>IF(E23=0, 0, E19 / E23)</f>
        <v>0</v>
      </c>
      <c r="F68" s="17">
        <f>IF(F23=0, 0, F19 / F23)</f>
        <v>0</v>
      </c>
      <c r="G68" s="17">
        <f>IF(G23=0, 0, G19 / G23)</f>
        <v>0</v>
      </c>
      <c r="H68" s="17">
        <f>IF(H23=0, 0, H19 / H23)</f>
        <v>0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Auto-LBO System</dc:creator>
  <dc:title/>
  <dc:subject/>
  <dc:description/>
  <cp:keywords/>
  <cp:category/>
  <cp:lastModifiedBy>Unknown</cp:lastModifiedBy>
  <dcterms:created xsi:type="dcterms:W3CDTF">2026-02-02T16:44:41Z</dcterms:created>
  <dcterms:modified xsi:type="dcterms:W3CDTF">2026-02-02T16:44:41Z</dcterms:modified>
</cp:coreProperties>
</file>